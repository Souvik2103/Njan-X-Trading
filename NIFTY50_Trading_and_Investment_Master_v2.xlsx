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souv\Downloads\"/>
    </mc:Choice>
  </mc:AlternateContent>
  <xr:revisionPtr revIDLastSave="0" documentId="13_ncr:1_{26655C49-3D35-4151-BD8D-BEC76E64BBA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shboard" sheetId="1" r:id="rId1"/>
    <sheet name="DailyTrading Log" sheetId="2" r:id="rId2"/>
    <sheet name="Monthly" sheetId="3" r:id="rId3"/>
    <sheet name="Investment" sheetId="4" r:id="rId4"/>
    <sheet name="Return on Trades &amp; Investm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11" i="5" s="1"/>
  <c r="B9" i="5"/>
  <c r="B7" i="5"/>
  <c r="B8" i="5" s="1"/>
  <c r="B12" i="5" s="1"/>
  <c r="B13" i="5" s="1"/>
  <c r="B6" i="5"/>
  <c r="D10" i="4"/>
  <c r="C10" i="4"/>
  <c r="F9" i="4"/>
  <c r="E9" i="4"/>
  <c r="F8" i="4"/>
  <c r="E8" i="4"/>
  <c r="F7" i="4"/>
  <c r="E7" i="4"/>
  <c r="E6" i="4"/>
  <c r="F6" i="4" s="1"/>
  <c r="E5" i="4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L39" i="2"/>
  <c r="M39" i="2" s="1"/>
  <c r="P39" i="2" s="1"/>
  <c r="Q39" i="2" s="1"/>
  <c r="L38" i="2"/>
  <c r="M38" i="2" s="1"/>
  <c r="P38" i="2" s="1"/>
  <c r="Q38" i="2" s="1"/>
  <c r="L37" i="2"/>
  <c r="M37" i="2" s="1"/>
  <c r="P37" i="2" s="1"/>
  <c r="Q37" i="2" s="1"/>
  <c r="L36" i="2"/>
  <c r="M36" i="2" s="1"/>
  <c r="P36" i="2" s="1"/>
  <c r="Q36" i="2" s="1"/>
  <c r="L35" i="2"/>
  <c r="M35" i="2" s="1"/>
  <c r="P35" i="2" s="1"/>
  <c r="Q35" i="2" s="1"/>
  <c r="L34" i="2"/>
  <c r="M34" i="2" s="1"/>
  <c r="P34" i="2" s="1"/>
  <c r="Q34" i="2" s="1"/>
  <c r="L33" i="2"/>
  <c r="M33" i="2" s="1"/>
  <c r="P33" i="2" s="1"/>
  <c r="Q33" i="2" s="1"/>
  <c r="L32" i="2"/>
  <c r="M32" i="2" s="1"/>
  <c r="P32" i="2" s="1"/>
  <c r="Q32" i="2" s="1"/>
  <c r="L31" i="2"/>
  <c r="M31" i="2" s="1"/>
  <c r="P31" i="2" s="1"/>
  <c r="Q31" i="2" s="1"/>
  <c r="L30" i="2"/>
  <c r="M30" i="2" s="1"/>
  <c r="P30" i="2" s="1"/>
  <c r="Q30" i="2" s="1"/>
  <c r="L29" i="2"/>
  <c r="M29" i="2" s="1"/>
  <c r="P29" i="2" s="1"/>
  <c r="Q29" i="2" s="1"/>
  <c r="L28" i="2"/>
  <c r="M28" i="2" s="1"/>
  <c r="P28" i="2" s="1"/>
  <c r="Q28" i="2" s="1"/>
  <c r="L27" i="2"/>
  <c r="M27" i="2" s="1"/>
  <c r="P27" i="2" s="1"/>
  <c r="Q27" i="2" s="1"/>
  <c r="L26" i="2"/>
  <c r="M26" i="2" s="1"/>
  <c r="P26" i="2" s="1"/>
  <c r="Q26" i="2" s="1"/>
  <c r="L25" i="2"/>
  <c r="M25" i="2" s="1"/>
  <c r="P25" i="2" s="1"/>
  <c r="Q25" i="2" s="1"/>
  <c r="L24" i="2"/>
  <c r="M24" i="2" s="1"/>
  <c r="P24" i="2" s="1"/>
  <c r="Q24" i="2" s="1"/>
  <c r="L23" i="2"/>
  <c r="M23" i="2" s="1"/>
  <c r="P23" i="2" s="1"/>
  <c r="Q23" i="2" s="1"/>
  <c r="M22" i="2"/>
  <c r="P22" i="2" s="1"/>
  <c r="Q22" i="2" s="1"/>
  <c r="L22" i="2"/>
  <c r="L21" i="2"/>
  <c r="M21" i="2" s="1"/>
  <c r="P21" i="2" s="1"/>
  <c r="Q21" i="2" s="1"/>
  <c r="L20" i="2"/>
  <c r="M20" i="2" s="1"/>
  <c r="P20" i="2" s="1"/>
  <c r="Q20" i="2" s="1"/>
  <c r="L19" i="2"/>
  <c r="M19" i="2" s="1"/>
  <c r="P19" i="2" s="1"/>
  <c r="Q19" i="2" s="1"/>
  <c r="L18" i="2"/>
  <c r="M18" i="2" s="1"/>
  <c r="P18" i="2" s="1"/>
  <c r="Q18" i="2" s="1"/>
  <c r="L17" i="2"/>
  <c r="M17" i="2" s="1"/>
  <c r="P17" i="2" s="1"/>
  <c r="Q17" i="2" s="1"/>
  <c r="L16" i="2"/>
  <c r="M16" i="2" s="1"/>
  <c r="P16" i="2" s="1"/>
  <c r="Q16" i="2" s="1"/>
  <c r="L15" i="2"/>
  <c r="M15" i="2" s="1"/>
  <c r="P15" i="2" s="1"/>
  <c r="Q15" i="2" s="1"/>
  <c r="L14" i="2"/>
  <c r="M14" i="2" s="1"/>
  <c r="P14" i="2" s="1"/>
  <c r="Q14" i="2" s="1"/>
  <c r="L13" i="2"/>
  <c r="M13" i="2" s="1"/>
  <c r="P13" i="2" s="1"/>
  <c r="Q13" i="2" s="1"/>
  <c r="L12" i="2"/>
  <c r="M12" i="2" s="1"/>
  <c r="P12" i="2" s="1"/>
  <c r="Q12" i="2" s="1"/>
  <c r="L11" i="2"/>
  <c r="L10" i="2"/>
  <c r="M5" i="2"/>
  <c r="B16" i="1"/>
  <c r="B4" i="1"/>
  <c r="M11" i="2" l="1"/>
  <c r="P11" i="2" s="1"/>
  <c r="Q11" i="2" s="1"/>
  <c r="O5" i="2"/>
  <c r="F5" i="4"/>
  <c r="E10" i="4"/>
  <c r="F10" i="4" s="1"/>
  <c r="M10" i="2"/>
  <c r="P10" i="2" s="1"/>
  <c r="B15" i="1"/>
  <c r="Q10" i="2" l="1"/>
  <c r="B11" i="1"/>
  <c r="B6" i="1" s="1"/>
  <c r="B12" i="1"/>
  <c r="B14" i="1" s="1"/>
  <c r="B13" i="1"/>
  <c r="E5" i="2"/>
  <c r="I5" i="2"/>
  <c r="A5" i="2"/>
  <c r="C5" i="2" s="1"/>
  <c r="G5" i="2"/>
  <c r="B8" i="1" l="1"/>
  <c r="B7" i="1"/>
  <c r="K5" i="2"/>
</calcChain>
</file>

<file path=xl/sharedStrings.xml><?xml version="1.0" encoding="utf-8"?>
<sst xmlns="http://schemas.openxmlformats.org/spreadsheetml/2006/main" count="103" uniqueCount="99">
  <si>
    <t>NIFTY 50 3-MIN SCALPING DASHBOARD</t>
  </si>
  <si>
    <t>CAPITAL MILESTONES PANEL</t>
  </si>
  <si>
    <t>Starting Capital</t>
  </si>
  <si>
    <t>Target Milestone(1st Year)</t>
  </si>
  <si>
    <t>Current Active Balance</t>
  </si>
  <si>
    <t>Remaining to Target</t>
  </si>
  <si>
    <t>Account Growth Progress</t>
  </si>
  <si>
    <t>P&amp;L PROGRESS TRACKER SUMMARY</t>
  </si>
  <si>
    <t>Total Realised Net P&amp;L</t>
  </si>
  <si>
    <t>Total Win Trades Count</t>
  </si>
  <si>
    <t>Total Loss Trades Count</t>
  </si>
  <si>
    <t>Live Strategy Win Rate</t>
  </si>
  <si>
    <t>Average Points per Win</t>
  </si>
  <si>
    <t>Average Points per Loss</t>
  </si>
  <si>
    <t>NIFTY 50 TRADING LOG (2 LOTS = 130 QUANTITY)</t>
  </si>
  <si>
    <t>Intraday Trade Journal &amp; Execution Log</t>
  </si>
  <si>
    <t>Total Net P&amp;L</t>
  </si>
  <si>
    <t>Live Balance</t>
  </si>
  <si>
    <t>Total Trades</t>
  </si>
  <si>
    <t>Win Trades</t>
  </si>
  <si>
    <t>Loss Trades</t>
  </si>
  <si>
    <t>Win Rate</t>
  </si>
  <si>
    <t>Avg Win Pts</t>
  </si>
  <si>
    <t>Avg Loss Pts</t>
  </si>
  <si>
    <t>Date</t>
  </si>
  <si>
    <t>Time</t>
  </si>
  <si>
    <t>Strike</t>
  </si>
  <si>
    <t>Direction</t>
  </si>
  <si>
    <t>Qty</t>
  </si>
  <si>
    <t>Entry Premium</t>
  </si>
  <si>
    <t>SL</t>
  </si>
  <si>
    <t>T1</t>
  </si>
  <si>
    <t>T2</t>
  </si>
  <si>
    <t>T3</t>
  </si>
  <si>
    <t>Exit Premium</t>
  </si>
  <si>
    <t>Points Caught</t>
  </si>
  <si>
    <t>MTM</t>
  </si>
  <si>
    <t>Brokerage</t>
  </si>
  <si>
    <t>Statutory Taxes</t>
  </si>
  <si>
    <t>Net P&amp;L</t>
  </si>
  <si>
    <t>Profit %</t>
  </si>
  <si>
    <t>NIFTY CE</t>
  </si>
  <si>
    <t>BUY</t>
  </si>
  <si>
    <t>TRADING JOURNAL (MONTHLY TRACKER)</t>
  </si>
  <si>
    <t>Month-End Balances, Capital Injections &amp; Net P/L</t>
  </si>
  <si>
    <t>Balance</t>
  </si>
  <si>
    <t>FUND ADDED</t>
  </si>
  <si>
    <t>NET P/L</t>
  </si>
  <si>
    <t>31-Jul-21</t>
  </si>
  <si>
    <t>31-Aug-21</t>
  </si>
  <si>
    <t>30-Sep-21</t>
  </si>
  <si>
    <t>31-Oct-21</t>
  </si>
  <si>
    <t>30-Nov-21</t>
  </si>
  <si>
    <t>31-Dec-21</t>
  </si>
  <si>
    <t>31-Jan-22</t>
  </si>
  <si>
    <t>28-Feb-22</t>
  </si>
  <si>
    <t>31-Mar-22</t>
  </si>
  <si>
    <t>30-Apr-22</t>
  </si>
  <si>
    <t>31-May-22</t>
  </si>
  <si>
    <t>30-Jun-22</t>
  </si>
  <si>
    <t>PORTFOLIO &amp; ASSET ALLOCATION</t>
  </si>
  <si>
    <t>Investment Holdings, Platforms &amp; Current Valuations</t>
  </si>
  <si>
    <t>Holdings</t>
  </si>
  <si>
    <t>Account name</t>
  </si>
  <si>
    <t>Amount invested</t>
  </si>
  <si>
    <t>Current value</t>
  </si>
  <si>
    <t>P/L</t>
  </si>
  <si>
    <t>Growth %</t>
  </si>
  <si>
    <t>Mutual Fund</t>
  </si>
  <si>
    <t>Paytm money</t>
  </si>
  <si>
    <t>Stocks &amp; ETF Holdings</t>
  </si>
  <si>
    <t>Mstock</t>
  </si>
  <si>
    <t>Crypto</t>
  </si>
  <si>
    <t>CoinDCX</t>
  </si>
  <si>
    <t>Trading Cash</t>
  </si>
  <si>
    <t>Cash Reserve</t>
  </si>
  <si>
    <t>Closing Balance</t>
  </si>
  <si>
    <t>Trade &amp; Investment Return Plan</t>
  </si>
  <si>
    <t>Capital Allocation &amp; Rotation Framework</t>
  </si>
  <si>
    <t>Particulars</t>
  </si>
  <si>
    <t>Amount / Rate</t>
  </si>
  <si>
    <t>Formula / Rule Reference</t>
  </si>
  <si>
    <t>Investment Capital</t>
  </si>
  <si>
    <t>N (Base Capital, editable)</t>
  </si>
  <si>
    <t>Utilisation Capital for Rotation</t>
  </si>
  <si>
    <t>40% of N used for rotating business activity</t>
  </si>
  <si>
    <t>Monthly Profit</t>
  </si>
  <si>
    <t>Monthly profit assumed at 10% of N</t>
  </si>
  <si>
    <t>Yearly Return from Rotation</t>
  </si>
  <si>
    <t>Monthly Profit × 12 months</t>
  </si>
  <si>
    <t>10% of N maintained as cash reserve</t>
  </si>
  <si>
    <t>Remaining Capital for Fixed Income</t>
  </si>
  <si>
    <t>Remaining 50% of N earns fixed income</t>
  </si>
  <si>
    <t>Fixed Yearly Income</t>
  </si>
  <si>
    <t>8% per year on fixed capital</t>
  </si>
  <si>
    <t>Total Yearly Return</t>
  </si>
  <si>
    <t>Yearly Rotation Return + Fixed Income</t>
  </si>
  <si>
    <t>Overall Yearly Return % on N</t>
  </si>
  <si>
    <t>Total Yearly Return / Investment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</si>
</sst>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2">
    <font>
      <sz val="11"/>
      <color theme="1"/>
      <name val="Calibri"/>
      <family val="2"/>
      <scheme val="minor"/>
    </font>
    <font>
      <b/>
      <sz val="13"/>
      <color rgb="FF1E293B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b/>
      <sz val="10"/>
      <color rgb="FF1E293B"/>
      <name val="Segoe UI"/>
    </font>
    <font>
      <b/>
      <sz val="10"/>
      <color rgb="FF166534"/>
      <name val="Segoe UI"/>
    </font>
    <font>
      <b/>
      <sz val="10"/>
      <color rgb="FF991B1B"/>
      <name val="Segoe UI"/>
    </font>
    <font>
      <i/>
      <sz val="9"/>
      <color rgb="FF64748B"/>
      <name val="Segoe UI"/>
    </font>
    <font>
      <b/>
      <sz val="9"/>
      <color rgb="FF64748B"/>
      <name val="Segoe UI"/>
    </font>
    <font>
      <b/>
      <sz val="11"/>
      <color rgb="FF1E293B"/>
      <name val="Segoe UI"/>
    </font>
    <font>
      <b/>
      <sz val="10"/>
      <color rgb="FF0F172A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E0F2FE"/>
        <bgColor rgb="FFE0F2FE"/>
      </patternFill>
    </fill>
    <fill>
      <patternFill patternType="solid">
        <fgColor rgb="FFFEF3C7"/>
        <bgColor rgb="FFFEF3C7"/>
      </patternFill>
    </fill>
    <fill>
      <patternFill patternType="solid">
        <fgColor rgb="FFFFEDD5"/>
        <bgColor rgb="FFFFEDD5"/>
      </patternFill>
    </fill>
    <fill>
      <patternFill patternType="solid">
        <fgColor rgb="FF334155"/>
        <bgColor rgb="FF334155"/>
      </patternFill>
    </fill>
    <fill>
      <patternFill patternType="solid">
        <fgColor rgb="FFEDE9FE"/>
        <bgColor rgb="FFEDE9FE"/>
      </patternFill>
    </fill>
    <fill>
      <patternFill patternType="solid">
        <fgColor rgb="FFF8FAFC"/>
        <bgColor rgb="FFF8FAFC"/>
      </patternFill>
    </fill>
    <fill>
      <patternFill patternType="solid">
        <fgColor rgb="FF0F172A"/>
        <bgColor rgb="FF0F172A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0" fontId="4" fillId="7" borderId="1" xfId="0" applyNumberFormat="1" applyFont="1" applyFill="1" applyBorder="1" applyAlignment="1">
      <alignment horizontal="right" vertical="center"/>
    </xf>
    <xf numFmtId="164" fontId="5" fillId="9" borderId="1" xfId="0" applyNumberFormat="1" applyFont="1" applyFill="1" applyBorder="1" applyAlignment="1">
      <alignment horizontal="right" vertical="center"/>
    </xf>
    <xf numFmtId="1" fontId="5" fillId="10" borderId="1" xfId="0" applyNumberFormat="1" applyFont="1" applyFill="1" applyBorder="1" applyAlignment="1">
      <alignment horizontal="center" vertical="center"/>
    </xf>
    <xf numFmtId="10" fontId="2" fillId="11" borderId="1" xfId="0" applyNumberFormat="1" applyFont="1" applyFill="1" applyBorder="1" applyAlignment="1">
      <alignment horizontal="center" vertical="center"/>
    </xf>
    <xf numFmtId="2" fontId="6" fillId="12" borderId="1" xfId="0" applyNumberFormat="1" applyFont="1" applyFill="1" applyBorder="1" applyAlignment="1">
      <alignment horizontal="right" vertical="center"/>
    </xf>
    <xf numFmtId="2" fontId="7" fillId="13" borderId="1" xfId="0" applyNumberFormat="1" applyFont="1" applyFill="1" applyBorder="1" applyAlignment="1">
      <alignment horizontal="right"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/>
    <xf numFmtId="164" fontId="3" fillId="0" borderId="1" xfId="0" applyNumberFormat="1" applyFont="1" applyBorder="1"/>
    <xf numFmtId="10" fontId="3" fillId="0" borderId="1" xfId="0" applyNumberFormat="1" applyFont="1" applyBorder="1" applyAlignment="1">
      <alignment horizontal="center"/>
    </xf>
    <xf numFmtId="0" fontId="11" fillId="14" borderId="2" xfId="0" applyFont="1" applyFill="1" applyBorder="1"/>
    <xf numFmtId="164" fontId="11" fillId="14" borderId="2" xfId="0" applyNumberFormat="1" applyFont="1" applyFill="1" applyBorder="1"/>
    <xf numFmtId="10" fontId="11" fillId="14" borderId="2" xfId="0" applyNumberFormat="1" applyFont="1" applyFill="1" applyBorder="1" applyAlignment="1">
      <alignment horizontal="center"/>
    </xf>
    <xf numFmtId="0" fontId="4" fillId="0" borderId="1" xfId="0" applyFont="1" applyBorder="1"/>
    <xf numFmtId="164" fontId="4" fillId="3" borderId="1" xfId="0" applyNumberFormat="1" applyFont="1" applyFill="1" applyBorder="1"/>
    <xf numFmtId="0" fontId="8" fillId="0" borderId="1" xfId="0" applyFont="1" applyBorder="1"/>
    <xf numFmtId="0" fontId="4" fillId="15" borderId="1" xfId="0" applyFont="1" applyFill="1" applyBorder="1"/>
    <xf numFmtId="164" fontId="4" fillId="15" borderId="1" xfId="0" applyNumberFormat="1" applyFont="1" applyFill="1" applyBorder="1"/>
    <xf numFmtId="0" fontId="4" fillId="0" borderId="2" xfId="0" applyFont="1" applyBorder="1"/>
    <xf numFmtId="10" fontId="6" fillId="12" borderId="2" xfId="0" applyNumberFormat="1" applyFont="1" applyFill="1" applyBorder="1"/>
    <xf numFmtId="0" fontId="8" fillId="0" borderId="2" xfId="0" applyFont="1" applyBorder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2" fillId="8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0" fillId="0" borderId="1" xfId="0" applyBorder="1"/>
    <xf numFmtId="2" fontId="10" fillId="10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1" fontId="10" fillId="10" borderId="1" xfId="0" applyNumberFormat="1" applyFont="1" applyFill="1" applyBorder="1" applyAlignment="1">
      <alignment horizontal="center" vertical="center"/>
    </xf>
    <xf numFmtId="10" fontId="10" fillId="1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5"/>
  <cols>
    <col min="1" max="1" width="32" customWidth="1"/>
    <col min="2" max="2" width="24" customWidth="1"/>
  </cols>
  <sheetData>
    <row r="1" spans="1:2" ht="18.75">
      <c r="A1" s="1" t="s">
        <v>0</v>
      </c>
    </row>
    <row r="3" spans="1:2">
      <c r="A3" s="38" t="s">
        <v>1</v>
      </c>
      <c r="B3" s="39"/>
    </row>
    <row r="4" spans="1:2">
      <c r="A4" s="2" t="s">
        <v>2</v>
      </c>
      <c r="B4" s="3">
        <f>'Return on Trades &amp; Investments'!B5</f>
        <v>40000</v>
      </c>
    </row>
    <row r="5" spans="1:2">
      <c r="A5" s="2" t="s">
        <v>3</v>
      </c>
      <c r="B5" s="4">
        <v>80000</v>
      </c>
    </row>
    <row r="6" spans="1:2">
      <c r="A6" s="2" t="s">
        <v>4</v>
      </c>
      <c r="B6" s="5">
        <f>B4+B11</f>
        <v>40745</v>
      </c>
    </row>
    <row r="7" spans="1:2">
      <c r="A7" s="2" t="s">
        <v>5</v>
      </c>
      <c r="B7" s="6">
        <f>MAX(0, B5-B6)</f>
        <v>39255</v>
      </c>
    </row>
    <row r="8" spans="1:2">
      <c r="A8" s="2" t="s">
        <v>6</v>
      </c>
      <c r="B8" s="7">
        <f>IF(B4=0, 0, (B6-B4)/B4)</f>
        <v>1.8624999999999999E-2</v>
      </c>
    </row>
    <row r="10" spans="1:2">
      <c r="A10" s="40" t="s">
        <v>7</v>
      </c>
      <c r="B10" s="39"/>
    </row>
    <row r="11" spans="1:2">
      <c r="A11" s="2" t="s">
        <v>8</v>
      </c>
      <c r="B11" s="8">
        <f>SUM('DailyTrading Log'!P10:P100)</f>
        <v>745</v>
      </c>
    </row>
    <row r="12" spans="1:2">
      <c r="A12" s="2" t="s">
        <v>9</v>
      </c>
      <c r="B12" s="9">
        <f>COUNTIF('DailyTrading Log'!P10:P100, "&gt;0")</f>
        <v>1</v>
      </c>
    </row>
    <row r="13" spans="1:2">
      <c r="A13" s="2" t="s">
        <v>10</v>
      </c>
      <c r="B13" s="9">
        <f>COUNTIF('DailyTrading Log'!P10:P100, "&lt;0")</f>
        <v>0</v>
      </c>
    </row>
    <row r="14" spans="1:2">
      <c r="A14" s="2" t="s">
        <v>11</v>
      </c>
      <c r="B14" s="10">
        <f>IF(COUNT('DailyTrading Log'!P10:P100)=0, 0, B12/COUNT('DailyTrading Log'!P10:P100))</f>
        <v>1</v>
      </c>
    </row>
    <row r="15" spans="1:2">
      <c r="A15" s="2" t="s">
        <v>12</v>
      </c>
      <c r="B15" s="11">
        <f>IFERROR(AVERAGEIF('DailyTrading Log'!L10:L100, "&gt;0"), 0)</f>
        <v>6</v>
      </c>
    </row>
    <row r="16" spans="1:2">
      <c r="A16" s="2" t="s">
        <v>13</v>
      </c>
      <c r="B16" s="12">
        <f>IFERROR(AVERAGEIF('DailyTrading Log'!L10:L100, "&lt;0"), 0)</f>
        <v>0</v>
      </c>
    </row>
  </sheetData>
  <mergeCells count="2">
    <mergeCell ref="A3:B3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abSelected="1" workbookViewId="0">
      <selection activeCell="A10" sqref="A10"/>
    </sheetView>
  </sheetViews>
  <sheetFormatPr defaultRowHeight="15"/>
  <cols>
    <col min="1" max="1" width="14" customWidth="1"/>
    <col min="2" max="2" width="12" customWidth="1"/>
    <col min="3" max="3" width="18" customWidth="1"/>
    <col min="4" max="4" width="13" customWidth="1"/>
    <col min="5" max="5" width="10" customWidth="1"/>
    <col min="6" max="6" width="16" customWidth="1"/>
    <col min="7" max="10" width="12" customWidth="1"/>
    <col min="11" max="11" width="16" customWidth="1"/>
    <col min="12" max="12" width="15" customWidth="1"/>
    <col min="13" max="13" width="16" customWidth="1"/>
    <col min="14" max="14" width="13" customWidth="1"/>
    <col min="15" max="16" width="16" customWidth="1"/>
    <col min="17" max="17" width="14" customWidth="1"/>
  </cols>
  <sheetData>
    <row r="1" spans="1:17" ht="18.75">
      <c r="A1" s="1" t="s">
        <v>14</v>
      </c>
    </row>
    <row r="2" spans="1:17">
      <c r="A2" s="13" t="s">
        <v>15</v>
      </c>
    </row>
    <row r="4" spans="1:17">
      <c r="A4" s="41" t="s">
        <v>16</v>
      </c>
      <c r="B4" s="42"/>
      <c r="C4" s="41" t="s">
        <v>17</v>
      </c>
      <c r="D4" s="42"/>
      <c r="E4" s="41" t="s">
        <v>18</v>
      </c>
      <c r="F4" s="42"/>
      <c r="G4" s="41" t="s">
        <v>19</v>
      </c>
      <c r="H4" s="42"/>
      <c r="I4" s="41" t="s">
        <v>20</v>
      </c>
      <c r="J4" s="42"/>
      <c r="K4" s="41" t="s">
        <v>21</v>
      </c>
      <c r="L4" s="42"/>
      <c r="M4" s="41" t="s">
        <v>22</v>
      </c>
      <c r="N4" s="42"/>
      <c r="O4" s="41" t="s">
        <v>23</v>
      </c>
      <c r="P4" s="42"/>
    </row>
    <row r="5" spans="1:17" ht="16.5">
      <c r="A5" s="44">
        <f>SUM(P10:P100)</f>
        <v>745</v>
      </c>
      <c r="B5" s="42"/>
      <c r="C5" s="44">
        <f>'Return on Trades &amp; Investments'!B5 + A5</f>
        <v>40745</v>
      </c>
      <c r="D5" s="42"/>
      <c r="E5" s="45">
        <f>COUNT(P10:P100)</f>
        <v>1</v>
      </c>
      <c r="F5" s="42"/>
      <c r="G5" s="45">
        <f>COUNTIF(P10:P100, "&gt;0")</f>
        <v>1</v>
      </c>
      <c r="H5" s="42"/>
      <c r="I5" s="45">
        <f>COUNTIF(P10:P100, "&lt;0")</f>
        <v>0</v>
      </c>
      <c r="J5" s="42"/>
      <c r="K5" s="46">
        <f>IF(E5=0, 0, G5/E5)</f>
        <v>1</v>
      </c>
      <c r="L5" s="42"/>
      <c r="M5" s="43">
        <f>IFERROR(AVERAGEIF(L10:L100, "&gt;0"), 0)</f>
        <v>6</v>
      </c>
      <c r="N5" s="42"/>
      <c r="O5" s="43">
        <f>IFERROR(AVERAGEIF(L10:L100, "&lt;0"), 0)</f>
        <v>0</v>
      </c>
      <c r="P5" s="42"/>
    </row>
    <row r="9" spans="1:17">
      <c r="A9" s="14" t="s">
        <v>24</v>
      </c>
      <c r="B9" s="14" t="s">
        <v>25</v>
      </c>
      <c r="C9" s="14" t="s">
        <v>26</v>
      </c>
      <c r="D9" s="14" t="s">
        <v>27</v>
      </c>
      <c r="E9" s="14" t="s">
        <v>28</v>
      </c>
      <c r="F9" s="14" t="s">
        <v>29</v>
      </c>
      <c r="G9" s="14" t="s">
        <v>30</v>
      </c>
      <c r="H9" s="14" t="s">
        <v>31</v>
      </c>
      <c r="I9" s="14" t="s">
        <v>32</v>
      </c>
      <c r="J9" s="14" t="s">
        <v>33</v>
      </c>
      <c r="K9" s="14" t="s">
        <v>34</v>
      </c>
      <c r="L9" s="14" t="s">
        <v>35</v>
      </c>
      <c r="M9" s="14" t="s">
        <v>36</v>
      </c>
      <c r="N9" s="14" t="s">
        <v>37</v>
      </c>
      <c r="O9" s="14" t="s">
        <v>38</v>
      </c>
      <c r="P9" s="14" t="s">
        <v>39</v>
      </c>
      <c r="Q9" s="14" t="s">
        <v>40</v>
      </c>
    </row>
    <row r="10" spans="1:17">
      <c r="A10" s="47"/>
      <c r="B10" s="15"/>
      <c r="C10" s="15" t="s">
        <v>41</v>
      </c>
      <c r="D10" s="15" t="s">
        <v>42</v>
      </c>
      <c r="E10" s="16">
        <v>130</v>
      </c>
      <c r="F10" s="17">
        <v>135</v>
      </c>
      <c r="G10" s="17">
        <v>131</v>
      </c>
      <c r="H10" s="17">
        <v>141</v>
      </c>
      <c r="I10" s="17">
        <v>144</v>
      </c>
      <c r="J10" s="17">
        <v>148</v>
      </c>
      <c r="K10" s="17">
        <v>141</v>
      </c>
      <c r="L10" s="17">
        <f t="shared" ref="L10:L39" si="0">IF(OR(F10="",K10=""), "", K10-F10)</f>
        <v>6</v>
      </c>
      <c r="M10" s="18">
        <f t="shared" ref="M10:M39" si="1">IF(L10="", "", L10*E10)</f>
        <v>780</v>
      </c>
      <c r="N10" s="18">
        <v>15</v>
      </c>
      <c r="O10" s="18">
        <v>20</v>
      </c>
      <c r="P10" s="18">
        <f t="shared" ref="P10:P39" si="2">IF(M10="", "", M10-(N10+O10))</f>
        <v>745</v>
      </c>
      <c r="Q10" s="19">
        <f t="shared" ref="Q10:Q39" si="3">IF(OR(F10="",P10=""), "", P10/(F10*E10))</f>
        <v>4.2450142450142447E-2</v>
      </c>
    </row>
    <row r="11" spans="1:17">
      <c r="A11" s="47"/>
      <c r="B11" s="15"/>
      <c r="C11" s="15"/>
      <c r="D11" s="15"/>
      <c r="E11" s="16">
        <v>130</v>
      </c>
      <c r="F11" s="17"/>
      <c r="G11" s="17"/>
      <c r="H11" s="17"/>
      <c r="I11" s="17"/>
      <c r="J11" s="17"/>
      <c r="K11" s="17"/>
      <c r="L11" s="17" t="str">
        <f t="shared" si="0"/>
        <v/>
      </c>
      <c r="M11" s="18" t="str">
        <f t="shared" si="1"/>
        <v/>
      </c>
      <c r="N11" s="18"/>
      <c r="O11" s="18"/>
      <c r="P11" s="18" t="str">
        <f t="shared" si="2"/>
        <v/>
      </c>
      <c r="Q11" s="19" t="str">
        <f t="shared" si="3"/>
        <v/>
      </c>
    </row>
    <row r="12" spans="1:17">
      <c r="A12" s="47"/>
      <c r="B12" s="15"/>
      <c r="C12" s="15"/>
      <c r="D12" s="15"/>
      <c r="E12" s="16">
        <v>130</v>
      </c>
      <c r="F12" s="17"/>
      <c r="G12" s="17"/>
      <c r="H12" s="17"/>
      <c r="I12" s="17"/>
      <c r="J12" s="17"/>
      <c r="K12" s="17"/>
      <c r="L12" s="17" t="str">
        <f t="shared" si="0"/>
        <v/>
      </c>
      <c r="M12" s="18" t="str">
        <f t="shared" si="1"/>
        <v/>
      </c>
      <c r="N12" s="18"/>
      <c r="O12" s="18"/>
      <c r="P12" s="18" t="str">
        <f t="shared" si="2"/>
        <v/>
      </c>
      <c r="Q12" s="19" t="str">
        <f t="shared" si="3"/>
        <v/>
      </c>
    </row>
    <row r="13" spans="1:17">
      <c r="A13" s="47"/>
      <c r="B13" s="15"/>
      <c r="C13" s="15"/>
      <c r="D13" s="15"/>
      <c r="E13" s="16">
        <v>130</v>
      </c>
      <c r="F13" s="17"/>
      <c r="G13" s="17"/>
      <c r="H13" s="17"/>
      <c r="I13" s="17"/>
      <c r="J13" s="17"/>
      <c r="K13" s="17"/>
      <c r="L13" s="17" t="str">
        <f t="shared" si="0"/>
        <v/>
      </c>
      <c r="M13" s="18" t="str">
        <f t="shared" si="1"/>
        <v/>
      </c>
      <c r="N13" s="18"/>
      <c r="O13" s="18"/>
      <c r="P13" s="18" t="str">
        <f t="shared" si="2"/>
        <v/>
      </c>
      <c r="Q13" s="19" t="str">
        <f t="shared" si="3"/>
        <v/>
      </c>
    </row>
    <row r="14" spans="1:17">
      <c r="A14" s="15"/>
      <c r="B14" s="15"/>
      <c r="C14" s="15"/>
      <c r="D14" s="15"/>
      <c r="E14" s="16">
        <v>130</v>
      </c>
      <c r="F14" s="17"/>
      <c r="G14" s="17"/>
      <c r="H14" s="17"/>
      <c r="I14" s="17"/>
      <c r="J14" s="17"/>
      <c r="K14" s="17"/>
      <c r="L14" s="17" t="str">
        <f t="shared" si="0"/>
        <v/>
      </c>
      <c r="M14" s="18" t="str">
        <f t="shared" si="1"/>
        <v/>
      </c>
      <c r="N14" s="18"/>
      <c r="O14" s="18"/>
      <c r="P14" s="18" t="str">
        <f t="shared" si="2"/>
        <v/>
      </c>
      <c r="Q14" s="19" t="str">
        <f t="shared" si="3"/>
        <v/>
      </c>
    </row>
    <row r="15" spans="1:17">
      <c r="A15" s="15"/>
      <c r="B15" s="15"/>
      <c r="C15" s="15"/>
      <c r="D15" s="15"/>
      <c r="E15" s="16">
        <v>130</v>
      </c>
      <c r="F15" s="17"/>
      <c r="G15" s="17"/>
      <c r="H15" s="17"/>
      <c r="I15" s="17"/>
      <c r="J15" s="17"/>
      <c r="K15" s="17"/>
      <c r="L15" s="17" t="str">
        <f t="shared" si="0"/>
        <v/>
      </c>
      <c r="M15" s="18" t="str">
        <f t="shared" si="1"/>
        <v/>
      </c>
      <c r="N15" s="18"/>
      <c r="O15" s="18"/>
      <c r="P15" s="18" t="str">
        <f t="shared" si="2"/>
        <v/>
      </c>
      <c r="Q15" s="19" t="str">
        <f t="shared" si="3"/>
        <v/>
      </c>
    </row>
    <row r="16" spans="1:17">
      <c r="A16" s="15"/>
      <c r="B16" s="15"/>
      <c r="C16" s="15"/>
      <c r="D16" s="15"/>
      <c r="E16" s="16">
        <v>130</v>
      </c>
      <c r="F16" s="17"/>
      <c r="G16" s="17"/>
      <c r="H16" s="17"/>
      <c r="I16" s="17"/>
      <c r="J16" s="17"/>
      <c r="K16" s="17"/>
      <c r="L16" s="17" t="str">
        <f t="shared" si="0"/>
        <v/>
      </c>
      <c r="M16" s="18" t="str">
        <f t="shared" si="1"/>
        <v/>
      </c>
      <c r="N16" s="18"/>
      <c r="O16" s="18"/>
      <c r="P16" s="18" t="str">
        <f t="shared" si="2"/>
        <v/>
      </c>
      <c r="Q16" s="19" t="str">
        <f t="shared" si="3"/>
        <v/>
      </c>
    </row>
    <row r="17" spans="1:17">
      <c r="A17" s="15"/>
      <c r="B17" s="15"/>
      <c r="C17" s="15"/>
      <c r="D17" s="15"/>
      <c r="E17" s="16">
        <v>130</v>
      </c>
      <c r="F17" s="17"/>
      <c r="G17" s="17"/>
      <c r="H17" s="17"/>
      <c r="I17" s="17"/>
      <c r="J17" s="17"/>
      <c r="K17" s="17"/>
      <c r="L17" s="17" t="str">
        <f t="shared" si="0"/>
        <v/>
      </c>
      <c r="M17" s="18" t="str">
        <f t="shared" si="1"/>
        <v/>
      </c>
      <c r="N17" s="18"/>
      <c r="O17" s="18"/>
      <c r="P17" s="18" t="str">
        <f t="shared" si="2"/>
        <v/>
      </c>
      <c r="Q17" s="19" t="str">
        <f t="shared" si="3"/>
        <v/>
      </c>
    </row>
    <row r="18" spans="1:17">
      <c r="A18" s="15"/>
      <c r="B18" s="15"/>
      <c r="C18" s="15"/>
      <c r="D18" s="15"/>
      <c r="E18" s="16">
        <v>130</v>
      </c>
      <c r="F18" s="17"/>
      <c r="G18" s="17"/>
      <c r="H18" s="17"/>
      <c r="I18" s="17"/>
      <c r="J18" s="17"/>
      <c r="K18" s="17"/>
      <c r="L18" s="17" t="str">
        <f t="shared" si="0"/>
        <v/>
      </c>
      <c r="M18" s="18" t="str">
        <f t="shared" si="1"/>
        <v/>
      </c>
      <c r="N18" s="18"/>
      <c r="O18" s="18"/>
      <c r="P18" s="18" t="str">
        <f t="shared" si="2"/>
        <v/>
      </c>
      <c r="Q18" s="19" t="str">
        <f t="shared" si="3"/>
        <v/>
      </c>
    </row>
    <row r="19" spans="1:17">
      <c r="A19" s="15"/>
      <c r="B19" s="15"/>
      <c r="C19" s="15"/>
      <c r="D19" s="15"/>
      <c r="E19" s="16">
        <v>130</v>
      </c>
      <c r="F19" s="17"/>
      <c r="G19" s="17"/>
      <c r="H19" s="17"/>
      <c r="I19" s="17"/>
      <c r="J19" s="17"/>
      <c r="K19" s="17"/>
      <c r="L19" s="17" t="str">
        <f t="shared" si="0"/>
        <v/>
      </c>
      <c r="M19" s="18" t="str">
        <f t="shared" si="1"/>
        <v/>
      </c>
      <c r="N19" s="18"/>
      <c r="O19" s="18"/>
      <c r="P19" s="18" t="str">
        <f t="shared" si="2"/>
        <v/>
      </c>
      <c r="Q19" s="19" t="str">
        <f t="shared" si="3"/>
        <v/>
      </c>
    </row>
    <row r="20" spans="1:17">
      <c r="A20" s="15"/>
      <c r="B20" s="15"/>
      <c r="C20" s="15"/>
      <c r="D20" s="15"/>
      <c r="E20" s="16">
        <v>130</v>
      </c>
      <c r="F20" s="17"/>
      <c r="G20" s="17"/>
      <c r="H20" s="17"/>
      <c r="I20" s="17"/>
      <c r="J20" s="17"/>
      <c r="K20" s="17"/>
      <c r="L20" s="17" t="str">
        <f t="shared" si="0"/>
        <v/>
      </c>
      <c r="M20" s="18" t="str">
        <f t="shared" si="1"/>
        <v/>
      </c>
      <c r="N20" s="18"/>
      <c r="O20" s="18"/>
      <c r="P20" s="18" t="str">
        <f t="shared" si="2"/>
        <v/>
      </c>
      <c r="Q20" s="19" t="str">
        <f t="shared" si="3"/>
        <v/>
      </c>
    </row>
    <row r="21" spans="1:17">
      <c r="A21" s="15"/>
      <c r="B21" s="15"/>
      <c r="C21" s="15"/>
      <c r="D21" s="15"/>
      <c r="E21" s="16">
        <v>130</v>
      </c>
      <c r="F21" s="17"/>
      <c r="G21" s="17"/>
      <c r="H21" s="17"/>
      <c r="I21" s="17"/>
      <c r="J21" s="17"/>
      <c r="K21" s="17"/>
      <c r="L21" s="17" t="str">
        <f t="shared" si="0"/>
        <v/>
      </c>
      <c r="M21" s="18" t="str">
        <f t="shared" si="1"/>
        <v/>
      </c>
      <c r="N21" s="18"/>
      <c r="O21" s="18"/>
      <c r="P21" s="18" t="str">
        <f t="shared" si="2"/>
        <v/>
      </c>
      <c r="Q21" s="19" t="str">
        <f t="shared" si="3"/>
        <v/>
      </c>
    </row>
    <row r="22" spans="1:17">
      <c r="A22" s="15"/>
      <c r="B22" s="15"/>
      <c r="C22" s="15"/>
      <c r="D22" s="15"/>
      <c r="E22" s="16">
        <v>130</v>
      </c>
      <c r="F22" s="17"/>
      <c r="G22" s="17"/>
      <c r="H22" s="17"/>
      <c r="I22" s="17"/>
      <c r="J22" s="17"/>
      <c r="K22" s="17"/>
      <c r="L22" s="17" t="str">
        <f t="shared" si="0"/>
        <v/>
      </c>
      <c r="M22" s="18" t="str">
        <f t="shared" si="1"/>
        <v/>
      </c>
      <c r="N22" s="18"/>
      <c r="O22" s="18"/>
      <c r="P22" s="18" t="str">
        <f t="shared" si="2"/>
        <v/>
      </c>
      <c r="Q22" s="19" t="str">
        <f t="shared" si="3"/>
        <v/>
      </c>
    </row>
    <row r="23" spans="1:17">
      <c r="A23" s="15"/>
      <c r="B23" s="15"/>
      <c r="C23" s="15"/>
      <c r="D23" s="15"/>
      <c r="E23" s="16">
        <v>130</v>
      </c>
      <c r="F23" s="17"/>
      <c r="G23" s="17"/>
      <c r="H23" s="17"/>
      <c r="I23" s="17"/>
      <c r="J23" s="17"/>
      <c r="K23" s="17"/>
      <c r="L23" s="17" t="str">
        <f t="shared" si="0"/>
        <v/>
      </c>
      <c r="M23" s="18" t="str">
        <f t="shared" si="1"/>
        <v/>
      </c>
      <c r="N23" s="18"/>
      <c r="O23" s="18"/>
      <c r="P23" s="18" t="str">
        <f t="shared" si="2"/>
        <v/>
      </c>
      <c r="Q23" s="19" t="str">
        <f t="shared" si="3"/>
        <v/>
      </c>
    </row>
    <row r="24" spans="1:17">
      <c r="A24" s="15"/>
      <c r="B24" s="15"/>
      <c r="C24" s="15"/>
      <c r="D24" s="15"/>
      <c r="E24" s="16">
        <v>130</v>
      </c>
      <c r="F24" s="17"/>
      <c r="G24" s="17"/>
      <c r="H24" s="17"/>
      <c r="I24" s="17"/>
      <c r="J24" s="17"/>
      <c r="K24" s="17"/>
      <c r="L24" s="17" t="str">
        <f t="shared" si="0"/>
        <v/>
      </c>
      <c r="M24" s="18" t="str">
        <f t="shared" si="1"/>
        <v/>
      </c>
      <c r="N24" s="18"/>
      <c r="O24" s="18"/>
      <c r="P24" s="18" t="str">
        <f t="shared" si="2"/>
        <v/>
      </c>
      <c r="Q24" s="19" t="str">
        <f t="shared" si="3"/>
        <v/>
      </c>
    </row>
    <row r="25" spans="1:17">
      <c r="A25" s="15"/>
      <c r="B25" s="15"/>
      <c r="C25" s="15"/>
      <c r="D25" s="15"/>
      <c r="E25" s="16">
        <v>130</v>
      </c>
      <c r="F25" s="17"/>
      <c r="G25" s="17"/>
      <c r="H25" s="17"/>
      <c r="I25" s="17"/>
      <c r="J25" s="17"/>
      <c r="K25" s="17"/>
      <c r="L25" s="17" t="str">
        <f t="shared" si="0"/>
        <v/>
      </c>
      <c r="M25" s="18" t="str">
        <f t="shared" si="1"/>
        <v/>
      </c>
      <c r="N25" s="18"/>
      <c r="O25" s="18"/>
      <c r="P25" s="18" t="str">
        <f t="shared" si="2"/>
        <v/>
      </c>
      <c r="Q25" s="19" t="str">
        <f t="shared" si="3"/>
        <v/>
      </c>
    </row>
    <row r="26" spans="1:17">
      <c r="A26" s="15"/>
      <c r="B26" s="15"/>
      <c r="C26" s="15"/>
      <c r="D26" s="15"/>
      <c r="E26" s="16">
        <v>130</v>
      </c>
      <c r="F26" s="17"/>
      <c r="G26" s="17"/>
      <c r="H26" s="17"/>
      <c r="I26" s="17"/>
      <c r="J26" s="17"/>
      <c r="K26" s="17"/>
      <c r="L26" s="17" t="str">
        <f t="shared" si="0"/>
        <v/>
      </c>
      <c r="M26" s="18" t="str">
        <f t="shared" si="1"/>
        <v/>
      </c>
      <c r="N26" s="18"/>
      <c r="O26" s="18"/>
      <c r="P26" s="18" t="str">
        <f t="shared" si="2"/>
        <v/>
      </c>
      <c r="Q26" s="19" t="str">
        <f t="shared" si="3"/>
        <v/>
      </c>
    </row>
    <row r="27" spans="1:17">
      <c r="A27" s="15"/>
      <c r="B27" s="15"/>
      <c r="C27" s="15"/>
      <c r="D27" s="15"/>
      <c r="E27" s="16">
        <v>130</v>
      </c>
      <c r="F27" s="17"/>
      <c r="G27" s="17"/>
      <c r="H27" s="17"/>
      <c r="I27" s="17"/>
      <c r="J27" s="17"/>
      <c r="K27" s="17"/>
      <c r="L27" s="17" t="str">
        <f t="shared" si="0"/>
        <v/>
      </c>
      <c r="M27" s="18" t="str">
        <f t="shared" si="1"/>
        <v/>
      </c>
      <c r="N27" s="18"/>
      <c r="O27" s="18"/>
      <c r="P27" s="18" t="str">
        <f t="shared" si="2"/>
        <v/>
      </c>
      <c r="Q27" s="19" t="str">
        <f t="shared" si="3"/>
        <v/>
      </c>
    </row>
    <row r="28" spans="1:17">
      <c r="A28" s="15"/>
      <c r="B28" s="15"/>
      <c r="C28" s="15"/>
      <c r="D28" s="15"/>
      <c r="E28" s="16">
        <v>130</v>
      </c>
      <c r="F28" s="17"/>
      <c r="G28" s="17"/>
      <c r="H28" s="17"/>
      <c r="I28" s="17"/>
      <c r="J28" s="17"/>
      <c r="K28" s="17"/>
      <c r="L28" s="17" t="str">
        <f t="shared" si="0"/>
        <v/>
      </c>
      <c r="M28" s="18" t="str">
        <f t="shared" si="1"/>
        <v/>
      </c>
      <c r="N28" s="18"/>
      <c r="O28" s="18"/>
      <c r="P28" s="18" t="str">
        <f t="shared" si="2"/>
        <v/>
      </c>
      <c r="Q28" s="19" t="str">
        <f t="shared" si="3"/>
        <v/>
      </c>
    </row>
    <row r="29" spans="1:17">
      <c r="A29" s="15"/>
      <c r="B29" s="15"/>
      <c r="C29" s="15"/>
      <c r="D29" s="15"/>
      <c r="E29" s="16">
        <v>130</v>
      </c>
      <c r="F29" s="17"/>
      <c r="G29" s="17"/>
      <c r="H29" s="17"/>
      <c r="I29" s="17"/>
      <c r="J29" s="17"/>
      <c r="K29" s="17"/>
      <c r="L29" s="17" t="str">
        <f t="shared" si="0"/>
        <v/>
      </c>
      <c r="M29" s="18" t="str">
        <f t="shared" si="1"/>
        <v/>
      </c>
      <c r="N29" s="18"/>
      <c r="O29" s="18"/>
      <c r="P29" s="18" t="str">
        <f t="shared" si="2"/>
        <v/>
      </c>
      <c r="Q29" s="19" t="str">
        <f t="shared" si="3"/>
        <v/>
      </c>
    </row>
    <row r="30" spans="1:17">
      <c r="A30" s="15"/>
      <c r="B30" s="15"/>
      <c r="C30" s="15"/>
      <c r="D30" s="15"/>
      <c r="E30" s="16">
        <v>130</v>
      </c>
      <c r="F30" s="17"/>
      <c r="G30" s="17"/>
      <c r="H30" s="17"/>
      <c r="I30" s="17"/>
      <c r="J30" s="17"/>
      <c r="K30" s="17"/>
      <c r="L30" s="17" t="str">
        <f t="shared" si="0"/>
        <v/>
      </c>
      <c r="M30" s="18" t="str">
        <f t="shared" si="1"/>
        <v/>
      </c>
      <c r="N30" s="18"/>
      <c r="O30" s="18"/>
      <c r="P30" s="18" t="str">
        <f t="shared" si="2"/>
        <v/>
      </c>
      <c r="Q30" s="19" t="str">
        <f t="shared" si="3"/>
        <v/>
      </c>
    </row>
    <row r="31" spans="1:17">
      <c r="A31" s="15"/>
      <c r="B31" s="15"/>
      <c r="C31" s="15"/>
      <c r="D31" s="15"/>
      <c r="E31" s="16">
        <v>130</v>
      </c>
      <c r="F31" s="17"/>
      <c r="G31" s="17"/>
      <c r="H31" s="17"/>
      <c r="I31" s="17"/>
      <c r="J31" s="17"/>
      <c r="K31" s="17"/>
      <c r="L31" s="17" t="str">
        <f t="shared" si="0"/>
        <v/>
      </c>
      <c r="M31" s="18" t="str">
        <f t="shared" si="1"/>
        <v/>
      </c>
      <c r="N31" s="18"/>
      <c r="O31" s="18"/>
      <c r="P31" s="18" t="str">
        <f t="shared" si="2"/>
        <v/>
      </c>
      <c r="Q31" s="19" t="str">
        <f t="shared" si="3"/>
        <v/>
      </c>
    </row>
    <row r="32" spans="1:17">
      <c r="A32" s="15"/>
      <c r="B32" s="15"/>
      <c r="C32" s="15"/>
      <c r="D32" s="15"/>
      <c r="E32" s="16">
        <v>130</v>
      </c>
      <c r="F32" s="17"/>
      <c r="G32" s="17"/>
      <c r="H32" s="17"/>
      <c r="I32" s="17"/>
      <c r="J32" s="17"/>
      <c r="K32" s="17"/>
      <c r="L32" s="17" t="str">
        <f t="shared" si="0"/>
        <v/>
      </c>
      <c r="M32" s="18" t="str">
        <f t="shared" si="1"/>
        <v/>
      </c>
      <c r="N32" s="18"/>
      <c r="O32" s="18"/>
      <c r="P32" s="18" t="str">
        <f t="shared" si="2"/>
        <v/>
      </c>
      <c r="Q32" s="19" t="str">
        <f t="shared" si="3"/>
        <v/>
      </c>
    </row>
    <row r="33" spans="1:17">
      <c r="A33" s="15"/>
      <c r="B33" s="15"/>
      <c r="C33" s="15"/>
      <c r="D33" s="15"/>
      <c r="E33" s="16">
        <v>130</v>
      </c>
      <c r="F33" s="17"/>
      <c r="G33" s="17"/>
      <c r="H33" s="17"/>
      <c r="I33" s="17"/>
      <c r="J33" s="17"/>
      <c r="K33" s="17"/>
      <c r="L33" s="17" t="str">
        <f t="shared" si="0"/>
        <v/>
      </c>
      <c r="M33" s="18" t="str">
        <f t="shared" si="1"/>
        <v/>
      </c>
      <c r="N33" s="18"/>
      <c r="O33" s="18"/>
      <c r="P33" s="18" t="str">
        <f t="shared" si="2"/>
        <v/>
      </c>
      <c r="Q33" s="19" t="str">
        <f t="shared" si="3"/>
        <v/>
      </c>
    </row>
    <row r="34" spans="1:17">
      <c r="A34" s="15"/>
      <c r="B34" s="15"/>
      <c r="C34" s="15"/>
      <c r="D34" s="15"/>
      <c r="E34" s="16">
        <v>130</v>
      </c>
      <c r="F34" s="17"/>
      <c r="G34" s="17"/>
      <c r="H34" s="17"/>
      <c r="I34" s="17"/>
      <c r="J34" s="17"/>
      <c r="K34" s="17"/>
      <c r="L34" s="17" t="str">
        <f t="shared" si="0"/>
        <v/>
      </c>
      <c r="M34" s="18" t="str">
        <f t="shared" si="1"/>
        <v/>
      </c>
      <c r="N34" s="18"/>
      <c r="O34" s="18"/>
      <c r="P34" s="18" t="str">
        <f t="shared" si="2"/>
        <v/>
      </c>
      <c r="Q34" s="19" t="str">
        <f t="shared" si="3"/>
        <v/>
      </c>
    </row>
    <row r="35" spans="1:17">
      <c r="A35" s="15"/>
      <c r="B35" s="15"/>
      <c r="C35" s="15"/>
      <c r="D35" s="15"/>
      <c r="E35" s="16">
        <v>130</v>
      </c>
      <c r="F35" s="17"/>
      <c r="G35" s="17"/>
      <c r="H35" s="17"/>
      <c r="I35" s="17"/>
      <c r="J35" s="17"/>
      <c r="K35" s="17"/>
      <c r="L35" s="17" t="str">
        <f t="shared" si="0"/>
        <v/>
      </c>
      <c r="M35" s="18" t="str">
        <f t="shared" si="1"/>
        <v/>
      </c>
      <c r="N35" s="18"/>
      <c r="O35" s="18"/>
      <c r="P35" s="18" t="str">
        <f t="shared" si="2"/>
        <v/>
      </c>
      <c r="Q35" s="19" t="str">
        <f t="shared" si="3"/>
        <v/>
      </c>
    </row>
    <row r="36" spans="1:17">
      <c r="A36" s="15"/>
      <c r="B36" s="15"/>
      <c r="C36" s="15"/>
      <c r="D36" s="15"/>
      <c r="E36" s="16">
        <v>130</v>
      </c>
      <c r="F36" s="17"/>
      <c r="G36" s="17"/>
      <c r="H36" s="17"/>
      <c r="I36" s="17"/>
      <c r="J36" s="17"/>
      <c r="K36" s="17"/>
      <c r="L36" s="17" t="str">
        <f t="shared" si="0"/>
        <v/>
      </c>
      <c r="M36" s="18" t="str">
        <f t="shared" si="1"/>
        <v/>
      </c>
      <c r="N36" s="18"/>
      <c r="O36" s="18"/>
      <c r="P36" s="18" t="str">
        <f t="shared" si="2"/>
        <v/>
      </c>
      <c r="Q36" s="19" t="str">
        <f t="shared" si="3"/>
        <v/>
      </c>
    </row>
    <row r="37" spans="1:17">
      <c r="A37" s="15"/>
      <c r="B37" s="15"/>
      <c r="C37" s="15"/>
      <c r="D37" s="15"/>
      <c r="E37" s="16">
        <v>130</v>
      </c>
      <c r="F37" s="17"/>
      <c r="G37" s="17"/>
      <c r="H37" s="17"/>
      <c r="I37" s="17"/>
      <c r="J37" s="17"/>
      <c r="K37" s="17"/>
      <c r="L37" s="17" t="str">
        <f t="shared" si="0"/>
        <v/>
      </c>
      <c r="M37" s="18" t="str">
        <f t="shared" si="1"/>
        <v/>
      </c>
      <c r="N37" s="18"/>
      <c r="O37" s="18"/>
      <c r="P37" s="18" t="str">
        <f t="shared" si="2"/>
        <v/>
      </c>
      <c r="Q37" s="19" t="str">
        <f t="shared" si="3"/>
        <v/>
      </c>
    </row>
    <row r="38" spans="1:17">
      <c r="A38" s="15"/>
      <c r="B38" s="15"/>
      <c r="C38" s="15"/>
      <c r="D38" s="15"/>
      <c r="E38" s="16">
        <v>130</v>
      </c>
      <c r="F38" s="17"/>
      <c r="G38" s="17"/>
      <c r="H38" s="17"/>
      <c r="I38" s="17"/>
      <c r="J38" s="17"/>
      <c r="K38" s="17"/>
      <c r="L38" s="17" t="str">
        <f t="shared" si="0"/>
        <v/>
      </c>
      <c r="M38" s="18" t="str">
        <f t="shared" si="1"/>
        <v/>
      </c>
      <c r="N38" s="18"/>
      <c r="O38" s="18"/>
      <c r="P38" s="18" t="str">
        <f t="shared" si="2"/>
        <v/>
      </c>
      <c r="Q38" s="19" t="str">
        <f t="shared" si="3"/>
        <v/>
      </c>
    </row>
    <row r="39" spans="1:17">
      <c r="A39" s="15"/>
      <c r="B39" s="15"/>
      <c r="C39" s="15"/>
      <c r="D39" s="15"/>
      <c r="E39" s="16">
        <v>130</v>
      </c>
      <c r="F39" s="17"/>
      <c r="G39" s="17"/>
      <c r="H39" s="17"/>
      <c r="I39" s="17"/>
      <c r="J39" s="17"/>
      <c r="K39" s="17"/>
      <c r="L39" s="17" t="str">
        <f t="shared" si="0"/>
        <v/>
      </c>
      <c r="M39" s="18" t="str">
        <f t="shared" si="1"/>
        <v/>
      </c>
      <c r="N39" s="18"/>
      <c r="O39" s="18"/>
      <c r="P39" s="18" t="str">
        <f t="shared" si="2"/>
        <v/>
      </c>
      <c r="Q39" s="19" t="str">
        <f t="shared" si="3"/>
        <v/>
      </c>
    </row>
  </sheetData>
  <mergeCells count="16">
    <mergeCell ref="A4:B4"/>
    <mergeCell ref="G4:H4"/>
    <mergeCell ref="E4:F4"/>
    <mergeCell ref="I4:J4"/>
    <mergeCell ref="O5:P5"/>
    <mergeCell ref="C5:D5"/>
    <mergeCell ref="A5:B5"/>
    <mergeCell ref="G5:H5"/>
    <mergeCell ref="E5:F5"/>
    <mergeCell ref="K5:L5"/>
    <mergeCell ref="I5:J5"/>
    <mergeCell ref="M5:N5"/>
    <mergeCell ref="K4:L4"/>
    <mergeCell ref="O4:P4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5"/>
  <cols>
    <col min="1" max="1" width="16" customWidth="1"/>
    <col min="2" max="2" width="20" customWidth="1"/>
    <col min="3" max="4" width="16" customWidth="1"/>
    <col min="5" max="5" width="14" customWidth="1"/>
  </cols>
  <sheetData>
    <row r="1" spans="1:5" ht="18.75">
      <c r="A1" s="1" t="s">
        <v>43</v>
      </c>
    </row>
    <row r="2" spans="1:5">
      <c r="A2" s="13" t="s">
        <v>44</v>
      </c>
    </row>
    <row r="4" spans="1:5">
      <c r="A4" s="20" t="s">
        <v>24</v>
      </c>
      <c r="B4" s="20" t="s">
        <v>45</v>
      </c>
      <c r="C4" s="20" t="s">
        <v>46</v>
      </c>
      <c r="D4" s="20" t="s">
        <v>47</v>
      </c>
      <c r="E4" s="20" t="s">
        <v>40</v>
      </c>
    </row>
    <row r="5" spans="1:5">
      <c r="A5" s="15" t="s">
        <v>48</v>
      </c>
      <c r="B5" s="21">
        <v>14993</v>
      </c>
      <c r="C5" s="21">
        <v>0</v>
      </c>
      <c r="D5" s="21"/>
      <c r="E5" s="19">
        <v>0</v>
      </c>
    </row>
    <row r="6" spans="1:5">
      <c r="A6" s="15" t="s">
        <v>49</v>
      </c>
      <c r="B6" s="22"/>
      <c r="C6" s="22"/>
      <c r="D6" s="21" t="str">
        <f t="shared" ref="D6:D16" si="0">IF(B6="", "", B6-(B5+IF(C6="",0,C6)))</f>
        <v/>
      </c>
      <c r="E6" s="19" t="str">
        <f t="shared" ref="E6:E16" si="1">IF(OR(B6="",B5=""), "", D6/B5)</f>
        <v/>
      </c>
    </row>
    <row r="7" spans="1:5">
      <c r="A7" s="15" t="s">
        <v>50</v>
      </c>
      <c r="B7" s="22"/>
      <c r="C7" s="22"/>
      <c r="D7" s="21" t="str">
        <f t="shared" si="0"/>
        <v/>
      </c>
      <c r="E7" s="19" t="str">
        <f t="shared" si="1"/>
        <v/>
      </c>
    </row>
    <row r="8" spans="1:5">
      <c r="A8" s="15" t="s">
        <v>51</v>
      </c>
      <c r="B8" s="22"/>
      <c r="C8" s="22"/>
      <c r="D8" s="21" t="str">
        <f t="shared" si="0"/>
        <v/>
      </c>
      <c r="E8" s="19" t="str">
        <f t="shared" si="1"/>
        <v/>
      </c>
    </row>
    <row r="9" spans="1:5">
      <c r="A9" s="15" t="s">
        <v>52</v>
      </c>
      <c r="B9" s="22"/>
      <c r="C9" s="22"/>
      <c r="D9" s="21" t="str">
        <f t="shared" si="0"/>
        <v/>
      </c>
      <c r="E9" s="19" t="str">
        <f t="shared" si="1"/>
        <v/>
      </c>
    </row>
    <row r="10" spans="1:5">
      <c r="A10" s="15" t="s">
        <v>53</v>
      </c>
      <c r="B10" s="22"/>
      <c r="C10" s="22"/>
      <c r="D10" s="21" t="str">
        <f t="shared" si="0"/>
        <v/>
      </c>
      <c r="E10" s="19" t="str">
        <f t="shared" si="1"/>
        <v/>
      </c>
    </row>
    <row r="11" spans="1:5">
      <c r="A11" s="15" t="s">
        <v>54</v>
      </c>
      <c r="B11" s="22"/>
      <c r="C11" s="22"/>
      <c r="D11" s="21" t="str">
        <f t="shared" si="0"/>
        <v/>
      </c>
      <c r="E11" s="19" t="str">
        <f t="shared" si="1"/>
        <v/>
      </c>
    </row>
    <row r="12" spans="1:5">
      <c r="A12" s="15" t="s">
        <v>55</v>
      </c>
      <c r="B12" s="22"/>
      <c r="C12" s="22"/>
      <c r="D12" s="21" t="str">
        <f t="shared" si="0"/>
        <v/>
      </c>
      <c r="E12" s="19" t="str">
        <f t="shared" si="1"/>
        <v/>
      </c>
    </row>
    <row r="13" spans="1:5">
      <c r="A13" s="15" t="s">
        <v>56</v>
      </c>
      <c r="B13" s="22"/>
      <c r="C13" s="22"/>
      <c r="D13" s="21" t="str">
        <f t="shared" si="0"/>
        <v/>
      </c>
      <c r="E13" s="19" t="str">
        <f t="shared" si="1"/>
        <v/>
      </c>
    </row>
    <row r="14" spans="1:5">
      <c r="A14" s="15" t="s">
        <v>57</v>
      </c>
      <c r="B14" s="22"/>
      <c r="C14" s="22"/>
      <c r="D14" s="21" t="str">
        <f t="shared" si="0"/>
        <v/>
      </c>
      <c r="E14" s="19" t="str">
        <f t="shared" si="1"/>
        <v/>
      </c>
    </row>
    <row r="15" spans="1:5">
      <c r="A15" s="15" t="s">
        <v>58</v>
      </c>
      <c r="B15" s="22"/>
      <c r="C15" s="22"/>
      <c r="D15" s="21" t="str">
        <f t="shared" si="0"/>
        <v/>
      </c>
      <c r="E15" s="19" t="str">
        <f t="shared" si="1"/>
        <v/>
      </c>
    </row>
    <row r="16" spans="1:5">
      <c r="A16" s="15" t="s">
        <v>59</v>
      </c>
      <c r="B16" s="22"/>
      <c r="C16" s="22"/>
      <c r="D16" s="21" t="str">
        <f t="shared" si="0"/>
        <v/>
      </c>
      <c r="E16" s="19" t="str">
        <f t="shared" si="1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5"/>
  <cols>
    <col min="1" max="1" width="26" customWidth="1"/>
    <col min="2" max="2" width="18" customWidth="1"/>
    <col min="3" max="4" width="20" customWidth="1"/>
    <col min="5" max="5" width="18" customWidth="1"/>
    <col min="6" max="6" width="14" customWidth="1"/>
  </cols>
  <sheetData>
    <row r="1" spans="1:6" ht="18.75">
      <c r="A1" s="1" t="s">
        <v>60</v>
      </c>
    </row>
    <row r="2" spans="1:6">
      <c r="A2" s="13" t="s">
        <v>61</v>
      </c>
    </row>
    <row r="4" spans="1:6">
      <c r="A4" s="23" t="s">
        <v>62</v>
      </c>
      <c r="B4" s="23" t="s">
        <v>63</v>
      </c>
      <c r="C4" s="20" t="s">
        <v>64</v>
      </c>
      <c r="D4" s="20" t="s">
        <v>65</v>
      </c>
      <c r="E4" s="20" t="s">
        <v>66</v>
      </c>
      <c r="F4" s="20" t="s">
        <v>67</v>
      </c>
    </row>
    <row r="5" spans="1:6">
      <c r="A5" s="24" t="s">
        <v>68</v>
      </c>
      <c r="B5" s="24" t="s">
        <v>69</v>
      </c>
      <c r="C5" s="25">
        <v>5000</v>
      </c>
      <c r="D5" s="25">
        <v>0</v>
      </c>
      <c r="E5" s="25">
        <f>D5-C5</f>
        <v>-5000</v>
      </c>
      <c r="F5" s="26">
        <f t="shared" ref="F5:F10" si="0">IF(C5=0, 0, E5/C5)</f>
        <v>-1</v>
      </c>
    </row>
    <row r="6" spans="1:6">
      <c r="A6" s="24" t="s">
        <v>70</v>
      </c>
      <c r="B6" s="24" t="s">
        <v>71</v>
      </c>
      <c r="C6" s="25">
        <v>15000</v>
      </c>
      <c r="D6" s="25">
        <v>0</v>
      </c>
      <c r="E6" s="25">
        <f>D6-C6</f>
        <v>-15000</v>
      </c>
      <c r="F6" s="26">
        <f t="shared" si="0"/>
        <v>-1</v>
      </c>
    </row>
    <row r="7" spans="1:6">
      <c r="A7" s="24" t="s">
        <v>72</v>
      </c>
      <c r="B7" s="24" t="s">
        <v>73</v>
      </c>
      <c r="C7" s="25">
        <v>1500</v>
      </c>
      <c r="D7" s="25">
        <v>1800</v>
      </c>
      <c r="E7" s="25">
        <f>D7-C7</f>
        <v>300</v>
      </c>
      <c r="F7" s="26">
        <f t="shared" si="0"/>
        <v>0.2</v>
      </c>
    </row>
    <row r="8" spans="1:6">
      <c r="A8" s="24" t="s">
        <v>74</v>
      </c>
      <c r="B8" s="24" t="s">
        <v>71</v>
      </c>
      <c r="C8" s="25">
        <v>20000</v>
      </c>
      <c r="D8" s="25">
        <v>20000</v>
      </c>
      <c r="E8" s="25">
        <f>D8-C8</f>
        <v>0</v>
      </c>
      <c r="F8" s="26">
        <f t="shared" si="0"/>
        <v>0</v>
      </c>
    </row>
    <row r="9" spans="1:6">
      <c r="A9" s="24" t="s">
        <v>75</v>
      </c>
      <c r="B9" s="24"/>
      <c r="C9" s="25">
        <v>5000</v>
      </c>
      <c r="D9" s="25">
        <v>0</v>
      </c>
      <c r="E9" s="25">
        <f>D9-C9</f>
        <v>-5000</v>
      </c>
      <c r="F9" s="26">
        <f t="shared" si="0"/>
        <v>-1</v>
      </c>
    </row>
    <row r="10" spans="1:6">
      <c r="A10" s="27" t="s">
        <v>76</v>
      </c>
      <c r="B10" s="27"/>
      <c r="C10" s="28">
        <f>SUM(C5:C9)</f>
        <v>46500</v>
      </c>
      <c r="D10" s="28">
        <f>SUM(D5:D9)</f>
        <v>21800</v>
      </c>
      <c r="E10" s="28">
        <f>SUM(E5:E9)</f>
        <v>-24700</v>
      </c>
      <c r="F10" s="29">
        <f t="shared" si="0"/>
        <v>-0.53118279569892468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defaultRowHeight="15"/>
  <cols>
    <col min="1" max="1" width="36" customWidth="1"/>
    <col min="2" max="2" width="22" customWidth="1"/>
    <col min="3" max="3" width="46" customWidth="1"/>
  </cols>
  <sheetData>
    <row r="1" spans="1:3" ht="18.75">
      <c r="A1" s="1" t="s">
        <v>77</v>
      </c>
    </row>
    <row r="2" spans="1:3">
      <c r="A2" s="13" t="s">
        <v>78</v>
      </c>
    </row>
    <row r="4" spans="1:3">
      <c r="A4" s="23" t="s">
        <v>79</v>
      </c>
      <c r="B4" s="20" t="s">
        <v>80</v>
      </c>
      <c r="C4" s="23" t="s">
        <v>81</v>
      </c>
    </row>
    <row r="5" spans="1:3">
      <c r="A5" s="30" t="s">
        <v>82</v>
      </c>
      <c r="B5" s="31">
        <v>40000</v>
      </c>
      <c r="C5" s="32" t="s">
        <v>83</v>
      </c>
    </row>
    <row r="6" spans="1:3">
      <c r="A6" s="24" t="s">
        <v>84</v>
      </c>
      <c r="B6" s="25">
        <f>B5*0.4</f>
        <v>16000</v>
      </c>
      <c r="C6" s="32" t="s">
        <v>85</v>
      </c>
    </row>
    <row r="7" spans="1:3">
      <c r="A7" s="24" t="s">
        <v>86</v>
      </c>
      <c r="B7" s="25">
        <f>B5*0.1</f>
        <v>4000</v>
      </c>
      <c r="C7" s="32" t="s">
        <v>87</v>
      </c>
    </row>
    <row r="8" spans="1:3">
      <c r="A8" s="33" t="s">
        <v>88</v>
      </c>
      <c r="B8" s="34">
        <f>B7*12</f>
        <v>48000</v>
      </c>
      <c r="C8" s="32" t="s">
        <v>89</v>
      </c>
    </row>
    <row r="9" spans="1:3">
      <c r="A9" s="24" t="s">
        <v>75</v>
      </c>
      <c r="B9" s="25">
        <f>B5*0.1</f>
        <v>4000</v>
      </c>
      <c r="C9" s="32" t="s">
        <v>90</v>
      </c>
    </row>
    <row r="10" spans="1:3">
      <c r="A10" s="24" t="s">
        <v>91</v>
      </c>
      <c r="B10" s="25">
        <f>B5*0.5</f>
        <v>20000</v>
      </c>
      <c r="C10" s="32" t="s">
        <v>92</v>
      </c>
    </row>
    <row r="11" spans="1:3">
      <c r="A11" s="24" t="s">
        <v>93</v>
      </c>
      <c r="B11" s="25">
        <f>B10*0.08</f>
        <v>1600</v>
      </c>
      <c r="C11" s="32" t="s">
        <v>94</v>
      </c>
    </row>
    <row r="12" spans="1:3">
      <c r="A12" s="33" t="s">
        <v>95</v>
      </c>
      <c r="B12" s="34">
        <f>B8+B11</f>
        <v>49600</v>
      </c>
      <c r="C12" s="32" t="s">
        <v>96</v>
      </c>
    </row>
    <row r="13" spans="1:3">
      <c r="A13" s="35" t="s">
        <v>97</v>
      </c>
      <c r="B13" s="36">
        <f>B12/B5</f>
        <v>1.24</v>
      </c>
      <c r="C13" s="37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DailyTrading Log</vt:lpstr>
      <vt:lpstr>Monthly</vt:lpstr>
      <vt:lpstr>Investment</vt:lpstr>
      <vt:lpstr>Return on Trades &amp; 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Souvik Das</cp:lastModifiedBy>
  <dcterms:created xsi:type="dcterms:W3CDTF">2026-09-01T08:07:10Z</dcterms:created>
  <dcterms:modified xsi:type="dcterms:W3CDTF">2026-09-01T11:45:50Z</dcterms:modified>
</cp:coreProperties>
</file>